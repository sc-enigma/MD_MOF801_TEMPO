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charges" sheetId="2" r:id="rId1"/>
    <sheet name="bonds" sheetId="1" r:id="rId2"/>
    <sheet name="angles" sheetId="3" r:id="rId3"/>
  </sheets>
  <calcPr calcId="152511" iterateDelta="1E-4"/>
</workbook>
</file>

<file path=xl/calcChain.xml><?xml version="1.0" encoding="utf-8"?>
<calcChain xmlns="http://schemas.openxmlformats.org/spreadsheetml/2006/main">
  <c r="E5" i="2" l="1"/>
  <c r="E1" i="2"/>
  <c r="E9" i="2" s="1"/>
  <c r="E2" i="2"/>
  <c r="E3" i="2"/>
  <c r="E4" i="2"/>
  <c r="E6" i="2"/>
  <c r="E7" i="2"/>
</calcChain>
</file>

<file path=xl/sharedStrings.xml><?xml version="1.0" encoding="utf-8"?>
<sst xmlns="http://schemas.openxmlformats.org/spreadsheetml/2006/main" count="34" uniqueCount="24">
  <si>
    <t>Zr-O3</t>
  </si>
  <si>
    <t>Zr-O1</t>
  </si>
  <si>
    <t>C1-O1</t>
  </si>
  <si>
    <t>C1-C2</t>
  </si>
  <si>
    <t>C2-C3</t>
  </si>
  <si>
    <t>C3-C3</t>
  </si>
  <si>
    <t>C3-H1</t>
  </si>
  <si>
    <t>Zr-O2</t>
  </si>
  <si>
    <t>O2-H7</t>
  </si>
  <si>
    <t>?</t>
  </si>
  <si>
    <t>C2-H1</t>
  </si>
  <si>
    <t>C2-C2</t>
  </si>
  <si>
    <t>cif</t>
  </si>
  <si>
    <t>ratio</t>
  </si>
  <si>
    <t>UIO66</t>
  </si>
  <si>
    <t>MOF801</t>
  </si>
  <si>
    <t>param</t>
  </si>
  <si>
    <t>itcFF_H7</t>
  </si>
  <si>
    <t>itcFF_H1</t>
  </si>
  <si>
    <t>itcFF_C2</t>
  </si>
  <si>
    <t>itcFF_C1</t>
  </si>
  <si>
    <t>itcFF_O2</t>
  </si>
  <si>
    <t>itcFF_O1</t>
  </si>
  <si>
    <t>itcFF_Zr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</si>
</sst>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3" sqref="D13"/>
    </sheetView>
  </sheetViews>
  <sheetFormatPr defaultRowHeight="15" x14ac:dyDescent="0.25"/>
  <sheetData>
    <row r="1" spans="1:5" x14ac:dyDescent="0.25">
      <c r="A1" t="s">
        <v>23</v>
      </c>
      <c r="B1">
        <v>378</v>
      </c>
      <c r="C1">
        <v>1.968</v>
      </c>
      <c r="E1">
        <f>B1*C1</f>
        <v>743.904</v>
      </c>
    </row>
    <row r="2" spans="1:5" x14ac:dyDescent="0.25">
      <c r="A2" t="s">
        <v>22</v>
      </c>
      <c r="B2">
        <v>960</v>
      </c>
      <c r="C2">
        <v>-0.53300000000000003</v>
      </c>
      <c r="E2">
        <f>B2*C2</f>
        <v>-511.68</v>
      </c>
    </row>
    <row r="3" spans="1:5" x14ac:dyDescent="0.25">
      <c r="A3" t="s">
        <v>21</v>
      </c>
      <c r="B3">
        <v>504</v>
      </c>
      <c r="C3">
        <v>-0.90200000000000002</v>
      </c>
      <c r="E3">
        <f>B3*C3</f>
        <v>-454.608</v>
      </c>
    </row>
    <row r="4" spans="1:5" x14ac:dyDescent="0.25">
      <c r="A4" t="s">
        <v>20</v>
      </c>
      <c r="B4">
        <v>480</v>
      </c>
      <c r="C4">
        <v>0.63</v>
      </c>
      <c r="E4">
        <f>B4*C4</f>
        <v>302.39999999999998</v>
      </c>
    </row>
    <row r="5" spans="1:5" x14ac:dyDescent="0.25">
      <c r="A5" t="s">
        <v>19</v>
      </c>
      <c r="B5">
        <v>480</v>
      </c>
      <c r="C5">
        <v>-0.36599999999999999</v>
      </c>
      <c r="E5">
        <f>B5*C5</f>
        <v>-175.68</v>
      </c>
    </row>
    <row r="6" spans="1:5" x14ac:dyDescent="0.25">
      <c r="A6" t="s">
        <v>18</v>
      </c>
      <c r="B6">
        <v>480</v>
      </c>
      <c r="C6">
        <v>0.13100000000000001</v>
      </c>
      <c r="E6">
        <f>B6*C6</f>
        <v>62.88</v>
      </c>
    </row>
    <row r="7" spans="1:5" x14ac:dyDescent="0.25">
      <c r="A7" t="s">
        <v>17</v>
      </c>
      <c r="B7">
        <v>252</v>
      </c>
      <c r="C7">
        <v>0.13100000000000001</v>
      </c>
      <c r="E7">
        <f>B7*C7</f>
        <v>33.012</v>
      </c>
    </row>
    <row r="9" spans="1:5" x14ac:dyDescent="0.25">
      <c r="E9">
        <f>SUM(E1:E7)</f>
        <v>0.2279999999999589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14</v>
      </c>
      <c r="B1" t="s">
        <v>16</v>
      </c>
      <c r="C1" t="s">
        <v>12</v>
      </c>
      <c r="D1" t="s">
        <v>13</v>
      </c>
    </row>
    <row r="2" spans="1:4" x14ac:dyDescent="0.25">
      <c r="A2" t="s">
        <v>0</v>
      </c>
      <c r="B2">
        <v>0.20979999999999999</v>
      </c>
      <c r="C2">
        <v>2.0633400000000002</v>
      </c>
    </row>
    <row r="3" spans="1:4" x14ac:dyDescent="0.25">
      <c r="A3" t="s">
        <v>1</v>
      </c>
      <c r="B3">
        <v>0.22320000000000001</v>
      </c>
      <c r="C3">
        <v>2.2132999999999998</v>
      </c>
    </row>
    <row r="4" spans="1:4" x14ac:dyDescent="0.25">
      <c r="A4" t="s">
        <v>2</v>
      </c>
      <c r="B4">
        <v>0.1273</v>
      </c>
      <c r="C4">
        <v>1.2583800000000001</v>
      </c>
    </row>
    <row r="5" spans="1:4" x14ac:dyDescent="0.25">
      <c r="A5" t="s">
        <v>3</v>
      </c>
      <c r="B5">
        <v>0.1487</v>
      </c>
      <c r="C5">
        <v>1.49624</v>
      </c>
    </row>
    <row r="6" spans="1:4" x14ac:dyDescent="0.25">
      <c r="A6" t="s">
        <v>4</v>
      </c>
      <c r="B6">
        <v>0.13930000000000001</v>
      </c>
      <c r="C6">
        <v>1.3832100000000001</v>
      </c>
    </row>
    <row r="7" spans="1:4" x14ac:dyDescent="0.25">
      <c r="A7" t="s">
        <v>5</v>
      </c>
      <c r="B7">
        <v>0.13930000000000001</v>
      </c>
      <c r="C7">
        <v>1.3944099999999999</v>
      </c>
    </row>
    <row r="8" spans="1:4" x14ac:dyDescent="0.25">
      <c r="A8" t="s">
        <v>6</v>
      </c>
      <c r="B8">
        <v>0.108</v>
      </c>
      <c r="C8">
        <v>0.94986999999999999</v>
      </c>
    </row>
    <row r="10" spans="1:4" x14ac:dyDescent="0.25">
      <c r="A10" t="s">
        <v>15</v>
      </c>
      <c r="B10" t="s">
        <v>16</v>
      </c>
      <c r="C10" t="s">
        <v>12</v>
      </c>
      <c r="D10" t="s">
        <v>13</v>
      </c>
    </row>
    <row r="11" spans="1:4" x14ac:dyDescent="0.25">
      <c r="A11" t="s">
        <v>1</v>
      </c>
      <c r="B11">
        <v>0.22320000000000001</v>
      </c>
      <c r="C11">
        <v>2.2343299999999999</v>
      </c>
    </row>
    <row r="12" spans="1:4" x14ac:dyDescent="0.25">
      <c r="A12" t="s">
        <v>7</v>
      </c>
      <c r="B12">
        <v>0.20979999999999999</v>
      </c>
      <c r="C12">
        <v>2.2555999999999998</v>
      </c>
    </row>
    <row r="13" spans="1:4" x14ac:dyDescent="0.25">
      <c r="A13" t="s">
        <v>2</v>
      </c>
      <c r="B13">
        <v>0.1273</v>
      </c>
      <c r="C13">
        <v>1.2774099999999999</v>
      </c>
    </row>
    <row r="14" spans="1:4" x14ac:dyDescent="0.25">
      <c r="A14" t="s">
        <v>8</v>
      </c>
      <c r="B14">
        <v>0.108</v>
      </c>
      <c r="C14" t="s">
        <v>9</v>
      </c>
    </row>
    <row r="15" spans="1:4" x14ac:dyDescent="0.25">
      <c r="A15" t="s">
        <v>10</v>
      </c>
      <c r="B15">
        <v>0.108</v>
      </c>
      <c r="C15">
        <v>1.2935300000000001</v>
      </c>
    </row>
    <row r="16" spans="1:4" x14ac:dyDescent="0.25">
      <c r="A16" t="s">
        <v>3</v>
      </c>
      <c r="B16">
        <v>0.15140000000000001</v>
      </c>
      <c r="C16">
        <v>1.2693000000000001</v>
      </c>
    </row>
    <row r="17" spans="1:3" x14ac:dyDescent="0.25">
      <c r="A17" t="s">
        <v>11</v>
      </c>
      <c r="B17">
        <v>0.13239999999999999</v>
      </c>
      <c r="C17">
        <v>1.5236700000000001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A1" t="s">
        <v>14</v>
      </c>
      <c r="B1" t="s">
        <v>16</v>
      </c>
      <c r="C1" t="s">
        <v>12</v>
      </c>
      <c r="D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charges</vt:lpstr>
      <vt:lpstr>bonds</vt:lpstr>
      <vt:lpstr>angles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2025-12-18T13:22:13Z</dcterms:modified>
</cp:coreProperties>
</file>